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LOJA\EVE\NOVO\LS\_GABRIEL\"/>
    </mc:Choice>
  </mc:AlternateContent>
  <xr:revisionPtr revIDLastSave="0" documentId="13_ncr:1_{DC252DA7-5330-4549-A8C3-57421AF2386D}" xr6:coauthVersionLast="47" xr6:coauthVersionMax="47" xr10:uidLastSave="{00000000-0000-0000-0000-000000000000}"/>
  <bookViews>
    <workbookView xWindow="-108" yWindow="-108" windowWidth="23256" windowHeight="12456" xr2:uid="{CEABB4DF-37CF-4C92-9AF1-BF2D93BDF84B}"/>
  </bookViews>
  <sheets>
    <sheet name="FIIs" sheetId="1" r:id="rId1"/>
    <sheet name="aux" sheetId="3" r:id="rId2"/>
  </sheets>
  <definedNames>
    <definedName name="aporte_mes">FIIs!$K$9</definedName>
    <definedName name="dividendo_mes">FIIs!$K$13</definedName>
    <definedName name="patrimonio">FIIs!$K$12</definedName>
    <definedName name="salario">FIIs!$K$5</definedName>
    <definedName name="tempo_ano">FIIs!$K$10</definedName>
    <definedName name="tx_anual">FIIs!$M$9</definedName>
    <definedName name="tx_mensal">FIIs!$K$11</definedName>
    <definedName name="tx_selic">FIIs!$M$5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8" i="1"/>
  <c r="J29" i="1"/>
  <c r="J30" i="1"/>
  <c r="J31" i="1"/>
  <c r="J32" i="1"/>
  <c r="J26" i="1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" i="3"/>
  <c r="K22" i="1"/>
  <c r="K26" i="1" s="1"/>
  <c r="J17" i="1"/>
  <c r="K17" i="1" s="1"/>
  <c r="J18" i="1"/>
  <c r="K18" i="1" s="1"/>
  <c r="J19" i="1"/>
  <c r="K19" i="1" s="1"/>
  <c r="J16" i="1"/>
  <c r="K16" i="1" s="1"/>
  <c r="K12" i="1"/>
  <c r="K13" i="1" s="1"/>
  <c r="M9" i="1"/>
  <c r="K6" i="1"/>
  <c r="K27" i="1" l="1"/>
  <c r="K33" i="1" s="1"/>
  <c r="K28" i="1"/>
  <c r="K31" i="1"/>
  <c r="K32" i="1"/>
  <c r="K29" i="1"/>
  <c r="K30" i="1"/>
</calcChain>
</file>

<file path=xl/sharedStrings.xml><?xml version="1.0" encoding="utf-8"?>
<sst xmlns="http://schemas.openxmlformats.org/spreadsheetml/2006/main" count="78" uniqueCount="54">
  <si>
    <t>FUNDOS IMOBILIÁRIOS</t>
  </si>
  <si>
    <t>CONFIGURAÇÕES</t>
  </si>
  <si>
    <t>Salário Líquido</t>
  </si>
  <si>
    <t>Sugestão de aporte</t>
  </si>
  <si>
    <t>PROJEÇÕES DE INVESTIMENTOS</t>
  </si>
  <si>
    <t>Aportes mensais</t>
  </si>
  <si>
    <t>Patrimônio Acumulado</t>
  </si>
  <si>
    <t>Dividendos Mensais</t>
  </si>
  <si>
    <t>Taxa Mensal</t>
  </si>
  <si>
    <t>Taxa Selic (a.a)</t>
  </si>
  <si>
    <t>Rendimento (a.a)</t>
  </si>
  <si>
    <t>Tempo de Investimento (Anos)</t>
  </si>
  <si>
    <t>5 anos</t>
  </si>
  <si>
    <t>10 anos</t>
  </si>
  <si>
    <t>15 anos</t>
  </si>
  <si>
    <t>20 anos</t>
  </si>
  <si>
    <t>PATRIMONIO</t>
  </si>
  <si>
    <t>DIVIDENDOS</t>
  </si>
  <si>
    <t>Perfil</t>
  </si>
  <si>
    <t>Conservador</t>
  </si>
  <si>
    <t>PERFIL DE INVESTIDOR</t>
  </si>
  <si>
    <t>TIPO DE FII</t>
  </si>
  <si>
    <t>PERCENTUAL</t>
  </si>
  <si>
    <t>VALOR</t>
  </si>
  <si>
    <t>Segmentos</t>
  </si>
  <si>
    <t>Porcentagem</t>
  </si>
  <si>
    <t>PAPEL</t>
  </si>
  <si>
    <t>SHOPPING</t>
  </si>
  <si>
    <t>LOGISTICA</t>
  </si>
  <si>
    <t>LAJES CORPORATIVAS</t>
  </si>
  <si>
    <t>DESENVOLVIMENTO</t>
  </si>
  <si>
    <t>MULTIESTRATÉGIA</t>
  </si>
  <si>
    <t>RENDA URBANA</t>
  </si>
  <si>
    <t>Conservador-PAPEL</t>
  </si>
  <si>
    <t>Conservador-SHOPPING</t>
  </si>
  <si>
    <t>Conservador-LOGISTICA</t>
  </si>
  <si>
    <t>Conservador-LAJES CORPORATIVAS</t>
  </si>
  <si>
    <t>Conservador-DESENVOLVIMENTO</t>
  </si>
  <si>
    <t>Conservador-MULTIESTRATÉGIA</t>
  </si>
  <si>
    <t>Conservador-RENDA URBANA</t>
  </si>
  <si>
    <t>Moderado-PAPEL</t>
  </si>
  <si>
    <t>Moderado-SHOPPING</t>
  </si>
  <si>
    <t>Moderado-LOGISTICA</t>
  </si>
  <si>
    <t>Moderado-LAJES CORPORATIVAS</t>
  </si>
  <si>
    <t>Moderado-DESENVOLVIMENTO</t>
  </si>
  <si>
    <t>Moderado-MULTIESTRATÉGIA</t>
  </si>
  <si>
    <t>Moderado-RENDA URBANA</t>
  </si>
  <si>
    <t>Agressivo-PAPEL</t>
  </si>
  <si>
    <t>Agressivo-SHOPPING</t>
  </si>
  <si>
    <t>Agressivo-LOGISTICA</t>
  </si>
  <si>
    <t>Agressivo-LAJES CORPORATIVAS</t>
  </si>
  <si>
    <t>Agressivo-DESENVOLVIMENTO</t>
  </si>
  <si>
    <t>Agressivo-MULTIESTRATÉGIA</t>
  </si>
  <si>
    <t>Agressivo-RENDA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</si>
</sst>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9" tint="0.3999755851924192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0" xfId="0" applyBorder="1"/>
    <xf numFmtId="0" fontId="0" fillId="3" borderId="3" xfId="0" applyFill="1" applyBorder="1"/>
    <xf numFmtId="0" fontId="0" fillId="0" borderId="9" xfId="0" applyBorder="1"/>
    <xf numFmtId="9" fontId="0" fillId="4" borderId="10" xfId="2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4" borderId="1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2" applyFont="1" applyBorder="1"/>
    <xf numFmtId="9" fontId="0" fillId="0" borderId="1" xfId="2" applyFont="1" applyBorder="1"/>
    <xf numFmtId="9" fontId="0" fillId="0" borderId="8" xfId="2" applyFont="1" applyBorder="1"/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4" fontId="5" fillId="0" borderId="5" xfId="1" applyFont="1" applyBorder="1"/>
    <xf numFmtId="0" fontId="5" fillId="4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4" fontId="5" fillId="4" borderId="7" xfId="1" applyFont="1" applyFill="1" applyBorder="1"/>
    <xf numFmtId="0" fontId="5" fillId="0" borderId="5" xfId="0" applyFont="1" applyBorder="1" applyAlignment="1">
      <alignment horizontal="center"/>
    </xf>
    <xf numFmtId="10" fontId="5" fillId="0" borderId="5" xfId="2" applyNumberFormat="1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8" fontId="5" fillId="4" borderId="5" xfId="0" applyNumberFormat="1" applyFont="1" applyFill="1" applyBorder="1"/>
    <xf numFmtId="8" fontId="5" fillId="4" borderId="7" xfId="0" applyNumberFormat="1" applyFont="1" applyFill="1" applyBorder="1" applyAlignment="1">
      <alignment horizontal="center"/>
    </xf>
    <xf numFmtId="44" fontId="5" fillId="4" borderId="0" xfId="1" applyFont="1" applyFill="1" applyBorder="1" applyAlignment="1"/>
    <xf numFmtId="44" fontId="5" fillId="4" borderId="5" xfId="1" applyFont="1" applyFill="1" applyBorder="1"/>
    <xf numFmtId="44" fontId="5" fillId="4" borderId="1" xfId="1" applyFont="1" applyFill="1" applyBorder="1" applyAlignment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2" applyFont="1" applyAlignment="1">
      <alignment horizontal="center"/>
    </xf>
    <xf numFmtId="44" fontId="5" fillId="0" borderId="0" xfId="0" applyNumberFormat="1" applyFont="1"/>
    <xf numFmtId="0" fontId="5" fillId="2" borderId="0" xfId="0" applyFont="1" applyFill="1"/>
    <xf numFmtId="44" fontId="6" fillId="2" borderId="0" xfId="0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163830</xdr:rowOff>
    </xdr:from>
    <xdr:to>
      <xdr:col>2</xdr:col>
      <xdr:colOff>533400</xdr:colOff>
      <xdr:row>2</xdr:row>
      <xdr:rowOff>11430</xdr:rowOff>
    </xdr:to>
    <xdr:pic>
      <xdr:nvPicPr>
        <xdr:cNvPr id="5" name="Gráfico 4" descr="Edifício estrutura de tópicos">
          <a:extLst>
            <a:ext uri="{FF2B5EF4-FFF2-40B4-BE49-F238E27FC236}">
              <a16:creationId xmlns:a16="http://schemas.microsoft.com/office/drawing/2014/main" id="{4A8FE3DC-FE2F-76DA-EFB4-CC1913DB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0" y="16383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929640</xdr:colOff>
      <xdr:row>0</xdr:row>
      <xdr:rowOff>163830</xdr:rowOff>
    </xdr:from>
    <xdr:to>
      <xdr:col>10</xdr:col>
      <xdr:colOff>228600</xdr:colOff>
      <xdr:row>2</xdr:row>
      <xdr:rowOff>11430</xdr:rowOff>
    </xdr:to>
    <xdr:pic>
      <xdr:nvPicPr>
        <xdr:cNvPr id="6" name="Gráfico 5" descr="Edifício estrutura de tópicos">
          <a:extLst>
            <a:ext uri="{FF2B5EF4-FFF2-40B4-BE49-F238E27FC236}">
              <a16:creationId xmlns:a16="http://schemas.microsoft.com/office/drawing/2014/main" id="{69ED984A-F933-4E02-9A35-A942942C5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63640" y="163830"/>
          <a:ext cx="4572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A50E-F586-4925-B4E1-269D1D97D64C}">
  <dimension ref="A2:M33"/>
  <sheetViews>
    <sheetView showGridLines="0" tabSelected="1" workbookViewId="0">
      <selection activeCell="B11" sqref="B11:J11"/>
    </sheetView>
  </sheetViews>
  <sheetFormatPr defaultColWidth="0" defaultRowHeight="14.4" x14ac:dyDescent="0.3"/>
  <cols>
    <col min="1" max="8" width="8.88671875" customWidth="1"/>
    <col min="9" max="9" width="3.77734375" customWidth="1"/>
    <col min="10" max="10" width="16.88671875" bestFit="1" customWidth="1"/>
    <col min="11" max="11" width="14.44140625" bestFit="1" customWidth="1"/>
    <col min="12" max="12" width="3.21875" customWidth="1"/>
    <col min="13" max="13" width="14.77734375" bestFit="1" customWidth="1"/>
    <col min="14" max="14" width="2" customWidth="1"/>
    <col min="15" max="16384" width="8.88671875" hidden="1"/>
  </cols>
  <sheetData>
    <row r="2" spans="1:13" ht="33.6" x14ac:dyDescent="0.6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3" ht="15" thickBot="1" x14ac:dyDescent="0.35"/>
    <row r="4" spans="1:13" ht="18" x14ac:dyDescent="0.35">
      <c r="B4" s="14" t="s">
        <v>1</v>
      </c>
      <c r="C4" s="15"/>
      <c r="D4" s="15"/>
      <c r="E4" s="15"/>
      <c r="F4" s="15"/>
      <c r="G4" s="15"/>
      <c r="H4" s="15"/>
      <c r="I4" s="15"/>
      <c r="J4" s="15"/>
      <c r="K4" s="5"/>
      <c r="M4" s="8" t="s">
        <v>9</v>
      </c>
    </row>
    <row r="5" spans="1:13" ht="16.2" thickBot="1" x14ac:dyDescent="0.35">
      <c r="B5" s="20" t="s">
        <v>2</v>
      </c>
      <c r="C5" s="21"/>
      <c r="D5" s="21"/>
      <c r="E5" s="21"/>
      <c r="F5" s="21"/>
      <c r="G5" s="21"/>
      <c r="H5" s="21"/>
      <c r="I5" s="21"/>
      <c r="J5" s="21"/>
      <c r="K5" s="22">
        <v>5000</v>
      </c>
      <c r="M5" s="7">
        <v>0.15</v>
      </c>
    </row>
    <row r="6" spans="1:13" ht="16.2" thickBot="1" x14ac:dyDescent="0.35">
      <c r="B6" s="23" t="s">
        <v>3</v>
      </c>
      <c r="C6" s="24"/>
      <c r="D6" s="24"/>
      <c r="E6" s="24"/>
      <c r="F6" s="24"/>
      <c r="G6" s="24"/>
      <c r="H6" s="24"/>
      <c r="I6" s="24"/>
      <c r="J6" s="24"/>
      <c r="K6" s="25">
        <f>$K$5*30%</f>
        <v>1500</v>
      </c>
    </row>
    <row r="7" spans="1:13" ht="15" thickBot="1" x14ac:dyDescent="0.35"/>
    <row r="8" spans="1:13" ht="18" x14ac:dyDescent="0.35">
      <c r="B8" s="14" t="s">
        <v>4</v>
      </c>
      <c r="C8" s="15"/>
      <c r="D8" s="15"/>
      <c r="E8" s="15"/>
      <c r="F8" s="15"/>
      <c r="G8" s="15"/>
      <c r="H8" s="15"/>
      <c r="I8" s="15"/>
      <c r="J8" s="15"/>
      <c r="K8" s="5"/>
      <c r="M8" s="6" t="s">
        <v>10</v>
      </c>
    </row>
    <row r="9" spans="1:13" ht="16.2" thickBot="1" x14ac:dyDescent="0.35">
      <c r="B9" s="20" t="s">
        <v>5</v>
      </c>
      <c r="C9" s="21"/>
      <c r="D9" s="21"/>
      <c r="E9" s="21"/>
      <c r="F9" s="21"/>
      <c r="G9" s="21"/>
      <c r="H9" s="21"/>
      <c r="I9" s="21"/>
      <c r="J9" s="21"/>
      <c r="K9" s="22">
        <v>500</v>
      </c>
      <c r="M9" s="9">
        <f>(1+$K$11)^12-1</f>
        <v>0.12682503013196977</v>
      </c>
    </row>
    <row r="10" spans="1:13" ht="15.6" x14ac:dyDescent="0.3">
      <c r="B10" s="20" t="s">
        <v>11</v>
      </c>
      <c r="C10" s="21"/>
      <c r="D10" s="21"/>
      <c r="E10" s="21"/>
      <c r="F10" s="21"/>
      <c r="G10" s="21"/>
      <c r="H10" s="21"/>
      <c r="I10" s="21"/>
      <c r="J10" s="21"/>
      <c r="K10" s="26">
        <v>5</v>
      </c>
    </row>
    <row r="11" spans="1:13" ht="15.6" x14ac:dyDescent="0.3">
      <c r="B11" s="20" t="s">
        <v>8</v>
      </c>
      <c r="C11" s="21"/>
      <c r="D11" s="21"/>
      <c r="E11" s="21"/>
      <c r="F11" s="21"/>
      <c r="G11" s="21"/>
      <c r="H11" s="21"/>
      <c r="I11" s="21"/>
      <c r="J11" s="21"/>
      <c r="K11" s="27">
        <v>0.01</v>
      </c>
    </row>
    <row r="12" spans="1:13" ht="15.6" x14ac:dyDescent="0.3">
      <c r="B12" s="28" t="s">
        <v>6</v>
      </c>
      <c r="C12" s="29"/>
      <c r="D12" s="29"/>
      <c r="E12" s="29"/>
      <c r="F12" s="29"/>
      <c r="G12" s="29"/>
      <c r="H12" s="29"/>
      <c r="I12" s="29"/>
      <c r="J12" s="29"/>
      <c r="K12" s="30">
        <f>FV($K$11,$K$10*12,K9*-1)</f>
        <v>40834.834928204567</v>
      </c>
    </row>
    <row r="13" spans="1:13" ht="16.2" thickBot="1" x14ac:dyDescent="0.35">
      <c r="B13" s="23" t="s">
        <v>7</v>
      </c>
      <c r="C13" s="24"/>
      <c r="D13" s="24"/>
      <c r="E13" s="24"/>
      <c r="F13" s="24"/>
      <c r="G13" s="24"/>
      <c r="H13" s="24"/>
      <c r="I13" s="24"/>
      <c r="J13" s="24"/>
      <c r="K13" s="31">
        <f>K12*K11</f>
        <v>408.34834928204566</v>
      </c>
    </row>
    <row r="14" spans="1:13" ht="15" thickBot="1" x14ac:dyDescent="0.35"/>
    <row r="15" spans="1:13" ht="18" x14ac:dyDescent="0.35">
      <c r="B15" s="14" t="s">
        <v>4</v>
      </c>
      <c r="C15" s="15"/>
      <c r="D15" s="15"/>
      <c r="E15" s="15"/>
      <c r="F15" s="15"/>
      <c r="G15" s="15"/>
      <c r="H15" s="15"/>
      <c r="I15" s="15"/>
      <c r="J15" s="16" t="s">
        <v>16</v>
      </c>
      <c r="K15" s="17" t="s">
        <v>17</v>
      </c>
    </row>
    <row r="16" spans="1:13" ht="15.6" x14ac:dyDescent="0.3">
      <c r="A16" s="10">
        <v>5</v>
      </c>
      <c r="B16" s="28" t="s">
        <v>12</v>
      </c>
      <c r="C16" s="29"/>
      <c r="D16" s="29"/>
      <c r="E16" s="29"/>
      <c r="F16" s="29"/>
      <c r="G16" s="29"/>
      <c r="H16" s="29"/>
      <c r="I16" s="29"/>
      <c r="J16" s="32">
        <f>FV(tx_mensal,$A16*12,aporte_mes*-1)</f>
        <v>40834.834928204567</v>
      </c>
      <c r="K16" s="33">
        <f>J16*tx_mensal</f>
        <v>408.34834928204566</v>
      </c>
    </row>
    <row r="17" spans="1:11" ht="15.6" x14ac:dyDescent="0.3">
      <c r="A17" s="10">
        <v>10</v>
      </c>
      <c r="B17" s="28" t="s">
        <v>13</v>
      </c>
      <c r="C17" s="29"/>
      <c r="D17" s="29"/>
      <c r="E17" s="29"/>
      <c r="F17" s="29"/>
      <c r="G17" s="29"/>
      <c r="H17" s="29"/>
      <c r="I17" s="29"/>
      <c r="J17" s="32">
        <f>FV(tx_mensal,$A17*12,aporte_mes*-1)</f>
        <v>115019.34472868349</v>
      </c>
      <c r="K17" s="33">
        <f>J17*tx_mensal</f>
        <v>1150.193447286835</v>
      </c>
    </row>
    <row r="18" spans="1:11" ht="15.6" x14ac:dyDescent="0.3">
      <c r="A18" s="10">
        <v>15</v>
      </c>
      <c r="B18" s="28" t="s">
        <v>14</v>
      </c>
      <c r="C18" s="29"/>
      <c r="D18" s="29"/>
      <c r="E18" s="29"/>
      <c r="F18" s="29"/>
      <c r="G18" s="29"/>
      <c r="H18" s="29"/>
      <c r="I18" s="29"/>
      <c r="J18" s="32">
        <f>FV(tx_mensal,$A18*12,aporte_mes*-1)</f>
        <v>249790.09876780899</v>
      </c>
      <c r="K18" s="33">
        <f>J18*tx_mensal</f>
        <v>2497.9009876780901</v>
      </c>
    </row>
    <row r="19" spans="1:11" ht="16.2" thickBot="1" x14ac:dyDescent="0.35">
      <c r="A19" s="10">
        <v>20</v>
      </c>
      <c r="B19" s="23" t="s">
        <v>15</v>
      </c>
      <c r="C19" s="24"/>
      <c r="D19" s="24"/>
      <c r="E19" s="24"/>
      <c r="F19" s="24"/>
      <c r="G19" s="24"/>
      <c r="H19" s="24"/>
      <c r="I19" s="24"/>
      <c r="J19" s="34">
        <f>FV(tx_mensal,$A19*12,aporte_mes*-1)</f>
        <v>494627.68269368151</v>
      </c>
      <c r="K19" s="25">
        <f>J19*tx_mensal</f>
        <v>4946.2768269368153</v>
      </c>
    </row>
    <row r="20" spans="1:11" ht="15" thickBot="1" x14ac:dyDescent="0.35"/>
    <row r="21" spans="1:11" ht="18" x14ac:dyDescent="0.35">
      <c r="B21" s="14" t="s">
        <v>20</v>
      </c>
      <c r="C21" s="15"/>
      <c r="D21" s="15"/>
      <c r="E21" s="15"/>
      <c r="F21" s="15"/>
      <c r="G21" s="15"/>
      <c r="H21" s="15"/>
      <c r="I21" s="15"/>
      <c r="J21" s="15"/>
      <c r="K21" s="5"/>
    </row>
    <row r="22" spans="1:11" ht="15.6" x14ac:dyDescent="0.3">
      <c r="B22" s="28" t="s">
        <v>5</v>
      </c>
      <c r="C22" s="29"/>
      <c r="D22" s="29"/>
      <c r="E22" s="29"/>
      <c r="F22" s="29"/>
      <c r="G22" s="29"/>
      <c r="H22" s="29"/>
      <c r="I22" s="29"/>
      <c r="J22" s="29"/>
      <c r="K22" s="33">
        <f>aporte_mes</f>
        <v>500</v>
      </c>
    </row>
    <row r="23" spans="1:11" ht="16.2" thickBot="1" x14ac:dyDescent="0.35">
      <c r="B23" s="35" t="s">
        <v>18</v>
      </c>
      <c r="C23" s="36"/>
      <c r="D23" s="36"/>
      <c r="E23" s="36"/>
      <c r="F23" s="36"/>
      <c r="G23" s="36"/>
      <c r="H23" s="36"/>
      <c r="I23" s="36"/>
      <c r="J23" s="36"/>
      <c r="K23" s="37" t="s">
        <v>19</v>
      </c>
    </row>
    <row r="25" spans="1:11" ht="18" x14ac:dyDescent="0.35">
      <c r="B25" s="18" t="s">
        <v>21</v>
      </c>
      <c r="C25" s="18"/>
      <c r="D25" s="18"/>
      <c r="E25" s="18"/>
      <c r="F25" s="18"/>
      <c r="G25" s="18"/>
      <c r="H25" s="18"/>
      <c r="I25" s="18"/>
      <c r="J25" s="19" t="s">
        <v>22</v>
      </c>
      <c r="K25" s="19" t="s">
        <v>23</v>
      </c>
    </row>
    <row r="26" spans="1:11" ht="15.6" x14ac:dyDescent="0.3">
      <c r="B26" s="38" t="s">
        <v>26</v>
      </c>
      <c r="C26" s="38"/>
      <c r="D26" s="38"/>
      <c r="E26" s="38"/>
      <c r="F26" s="38"/>
      <c r="G26" s="38"/>
      <c r="H26" s="38"/>
      <c r="I26" s="38"/>
      <c r="J26" s="39">
        <f>VLOOKUP($K$23&amp;"-"&amp;B26,aux!A2:C22,3,0)</f>
        <v>0.15</v>
      </c>
      <c r="K26" s="40">
        <f>J26*$K$22</f>
        <v>75</v>
      </c>
    </row>
    <row r="27" spans="1:11" ht="15.6" x14ac:dyDescent="0.3">
      <c r="B27" s="38" t="s">
        <v>27</v>
      </c>
      <c r="C27" s="38"/>
      <c r="D27" s="38"/>
      <c r="E27" s="38"/>
      <c r="F27" s="38"/>
      <c r="G27" s="38"/>
      <c r="H27" s="38"/>
      <c r="I27" s="38"/>
      <c r="J27" s="39">
        <f>VLOOKUP($K$23&amp;"-"&amp;B27,aux!A3:C23,3,0)</f>
        <v>0.25</v>
      </c>
      <c r="K27" s="40">
        <f t="shared" ref="K27:K32" si="0">J27*$K$22</f>
        <v>125</v>
      </c>
    </row>
    <row r="28" spans="1:11" ht="15.6" x14ac:dyDescent="0.3">
      <c r="B28" s="38" t="s">
        <v>28</v>
      </c>
      <c r="C28" s="38"/>
      <c r="D28" s="38"/>
      <c r="E28" s="38"/>
      <c r="F28" s="38"/>
      <c r="G28" s="38"/>
      <c r="H28" s="38"/>
      <c r="I28" s="38"/>
      <c r="J28" s="39">
        <f>VLOOKUP($K$23&amp;"-"&amp;B28,aux!A4:C24,3,0)</f>
        <v>0.25</v>
      </c>
      <c r="K28" s="40">
        <f t="shared" si="0"/>
        <v>125</v>
      </c>
    </row>
    <row r="29" spans="1:11" ht="15.6" x14ac:dyDescent="0.3">
      <c r="B29" s="38" t="s">
        <v>29</v>
      </c>
      <c r="C29" s="38"/>
      <c r="D29" s="38"/>
      <c r="E29" s="38"/>
      <c r="F29" s="38"/>
      <c r="G29" s="38"/>
      <c r="H29" s="38"/>
      <c r="I29" s="38"/>
      <c r="J29" s="39">
        <f>VLOOKUP($K$23&amp;"-"&amp;B29,aux!A5:C25,3,0)</f>
        <v>0.25</v>
      </c>
      <c r="K29" s="40">
        <f t="shared" si="0"/>
        <v>125</v>
      </c>
    </row>
    <row r="30" spans="1:11" ht="15.6" x14ac:dyDescent="0.3">
      <c r="B30" s="38" t="s">
        <v>30</v>
      </c>
      <c r="C30" s="38"/>
      <c r="D30" s="38"/>
      <c r="E30" s="38"/>
      <c r="F30" s="38"/>
      <c r="G30" s="38"/>
      <c r="H30" s="38"/>
      <c r="I30" s="38"/>
      <c r="J30" s="39">
        <f>VLOOKUP($K$23&amp;"-"&amp;B30,aux!A6:C26,3,0)</f>
        <v>0</v>
      </c>
      <c r="K30" s="40">
        <f t="shared" si="0"/>
        <v>0</v>
      </c>
    </row>
    <row r="31" spans="1:11" ht="15.6" x14ac:dyDescent="0.3">
      <c r="B31" s="38" t="s">
        <v>31</v>
      </c>
      <c r="C31" s="38"/>
      <c r="D31" s="38"/>
      <c r="E31" s="38"/>
      <c r="F31" s="38"/>
      <c r="G31" s="38"/>
      <c r="H31" s="38"/>
      <c r="I31" s="38"/>
      <c r="J31" s="39">
        <f>VLOOKUP($K$23&amp;"-"&amp;B31,aux!A7:C27,3,0)</f>
        <v>0.05</v>
      </c>
      <c r="K31" s="40">
        <f t="shared" si="0"/>
        <v>25</v>
      </c>
    </row>
    <row r="32" spans="1:11" ht="15.6" x14ac:dyDescent="0.3">
      <c r="B32" s="38" t="s">
        <v>32</v>
      </c>
      <c r="C32" s="38"/>
      <c r="D32" s="38"/>
      <c r="E32" s="38"/>
      <c r="F32" s="38"/>
      <c r="G32" s="38"/>
      <c r="H32" s="38"/>
      <c r="I32" s="38"/>
      <c r="J32" s="39">
        <f>VLOOKUP($K$23&amp;"-"&amp;B32,aux!A8:C28,3,0)</f>
        <v>0.05</v>
      </c>
      <c r="K32" s="40">
        <f t="shared" si="0"/>
        <v>25</v>
      </c>
    </row>
    <row r="33" spans="2:11" ht="15.6" x14ac:dyDescent="0.3">
      <c r="B33" s="41"/>
      <c r="C33" s="41"/>
      <c r="D33" s="41"/>
      <c r="E33" s="41"/>
      <c r="F33" s="41"/>
      <c r="G33" s="41"/>
      <c r="H33" s="41"/>
      <c r="I33" s="41"/>
      <c r="J33" s="41"/>
      <c r="K33" s="42">
        <f>SUM(K26:K32)</f>
        <v>500</v>
      </c>
    </row>
  </sheetData>
  <mergeCells count="26">
    <mergeCell ref="B28:I28"/>
    <mergeCell ref="B29:I29"/>
    <mergeCell ref="B30:I30"/>
    <mergeCell ref="B31:I31"/>
    <mergeCell ref="B32:I32"/>
    <mergeCell ref="B21:J21"/>
    <mergeCell ref="B22:J22"/>
    <mergeCell ref="B23:J23"/>
    <mergeCell ref="B25:I25"/>
    <mergeCell ref="B26:I26"/>
    <mergeCell ref="B27:I27"/>
    <mergeCell ref="B15:I15"/>
    <mergeCell ref="B16:I16"/>
    <mergeCell ref="B17:I17"/>
    <mergeCell ref="B18:I18"/>
    <mergeCell ref="B19:I19"/>
    <mergeCell ref="B10:J10"/>
    <mergeCell ref="B11:J11"/>
    <mergeCell ref="B12:J12"/>
    <mergeCell ref="B13:J13"/>
    <mergeCell ref="B2:K2"/>
    <mergeCell ref="B4:J4"/>
    <mergeCell ref="B5:J5"/>
    <mergeCell ref="B6:J6"/>
    <mergeCell ref="B8:J8"/>
    <mergeCell ref="B9:J9"/>
  </mergeCells>
  <dataValidations count="1">
    <dataValidation type="list" allowBlank="1" showInputMessage="1" showErrorMessage="1" sqref="K23" xr:uid="{FBA05887-8170-4A3C-A42E-5BE285932C7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2147-35AF-442F-B2EC-40347EDCD2BD}">
  <dimension ref="A1:E22"/>
  <sheetViews>
    <sheetView workbookViewId="0">
      <selection activeCell="E25" sqref="E25"/>
    </sheetView>
  </sheetViews>
  <sheetFormatPr defaultRowHeight="14.4" x14ac:dyDescent="0.3"/>
  <cols>
    <col min="1" max="1" width="30.33203125" bestFit="1" customWidth="1"/>
    <col min="2" max="2" width="19.109375" bestFit="1" customWidth="1"/>
    <col min="3" max="3" width="11.77734375" bestFit="1" customWidth="1"/>
    <col min="5" max="5" width="30.33203125" bestFit="1" customWidth="1"/>
  </cols>
  <sheetData>
    <row r="1" spans="1:5" x14ac:dyDescent="0.3">
      <c r="A1" s="4" t="s">
        <v>18</v>
      </c>
      <c r="B1" s="4" t="s">
        <v>24</v>
      </c>
      <c r="C1" s="4" t="s">
        <v>25</v>
      </c>
    </row>
    <row r="2" spans="1:5" x14ac:dyDescent="0.3">
      <c r="A2" s="4" t="s">
        <v>33</v>
      </c>
      <c r="B2" s="4" t="s">
        <v>26</v>
      </c>
      <c r="C2" s="11">
        <v>0.15</v>
      </c>
      <c r="E2" t="str">
        <f>A2&amp;"-"&amp;B2</f>
        <v>Conservador-PAPEL-PAPEL</v>
      </c>
    </row>
    <row r="3" spans="1:5" x14ac:dyDescent="0.3">
      <c r="A3" s="4" t="s">
        <v>34</v>
      </c>
      <c r="B3" s="4" t="s">
        <v>27</v>
      </c>
      <c r="C3" s="11">
        <v>0.25</v>
      </c>
      <c r="E3" t="str">
        <f t="shared" ref="E3:E22" si="0">A3&amp;"-"&amp;B3</f>
        <v>Conservador-SHOPPING-SHOPPING</v>
      </c>
    </row>
    <row r="4" spans="1:5" x14ac:dyDescent="0.3">
      <c r="A4" s="4" t="s">
        <v>35</v>
      </c>
      <c r="B4" s="4" t="s">
        <v>28</v>
      </c>
      <c r="C4" s="11">
        <v>0.25</v>
      </c>
      <c r="E4" t="str">
        <f t="shared" si="0"/>
        <v>Conservador-LOGISTICA-LOGISTICA</v>
      </c>
    </row>
    <row r="5" spans="1:5" x14ac:dyDescent="0.3">
      <c r="A5" s="4" t="s">
        <v>36</v>
      </c>
      <c r="B5" s="4" t="s">
        <v>29</v>
      </c>
      <c r="C5" s="11">
        <v>0.25</v>
      </c>
      <c r="E5" t="str">
        <f t="shared" si="0"/>
        <v>Conservador-LAJES CORPORATIVAS-LAJES CORPORATIVAS</v>
      </c>
    </row>
    <row r="6" spans="1:5" x14ac:dyDescent="0.3">
      <c r="A6" s="4" t="s">
        <v>37</v>
      </c>
      <c r="B6" s="4" t="s">
        <v>30</v>
      </c>
      <c r="C6" s="11">
        <v>0</v>
      </c>
      <c r="E6" t="str">
        <f t="shared" si="0"/>
        <v>Conservador-DESENVOLVIMENTO-DESENVOLVIMENTO</v>
      </c>
    </row>
    <row r="7" spans="1:5" x14ac:dyDescent="0.3">
      <c r="A7" s="4" t="s">
        <v>38</v>
      </c>
      <c r="B7" s="4" t="s">
        <v>31</v>
      </c>
      <c r="C7" s="11">
        <v>0.05</v>
      </c>
      <c r="E7" t="str">
        <f t="shared" si="0"/>
        <v>Conservador-MULTIESTRATÉGIA-MULTIESTRATÉGIA</v>
      </c>
    </row>
    <row r="8" spans="1:5" ht="15" thickBot="1" x14ac:dyDescent="0.35">
      <c r="A8" s="2" t="s">
        <v>39</v>
      </c>
      <c r="B8" s="2" t="s">
        <v>32</v>
      </c>
      <c r="C8" s="12">
        <v>0.05</v>
      </c>
      <c r="E8" t="str">
        <f t="shared" si="0"/>
        <v>Conservador-RENDA URBANA-RENDA URBANA</v>
      </c>
    </row>
    <row r="9" spans="1:5" x14ac:dyDescent="0.3">
      <c r="A9" s="3" t="s">
        <v>40</v>
      </c>
      <c r="B9" s="3" t="s">
        <v>26</v>
      </c>
      <c r="C9" s="13">
        <v>0.2</v>
      </c>
      <c r="E9" t="str">
        <f t="shared" si="0"/>
        <v>Moderado-PAPEL-PAPEL</v>
      </c>
    </row>
    <row r="10" spans="1:5" x14ac:dyDescent="0.3">
      <c r="A10" s="4" t="s">
        <v>41</v>
      </c>
      <c r="B10" s="4" t="s">
        <v>27</v>
      </c>
      <c r="C10" s="11">
        <v>0.17</v>
      </c>
      <c r="E10" t="str">
        <f t="shared" si="0"/>
        <v>Moderado-SHOPPING-SHOPPING</v>
      </c>
    </row>
    <row r="11" spans="1:5" x14ac:dyDescent="0.3">
      <c r="A11" s="4" t="s">
        <v>42</v>
      </c>
      <c r="B11" s="4" t="s">
        <v>28</v>
      </c>
      <c r="C11" s="11">
        <v>0.17</v>
      </c>
      <c r="E11" t="str">
        <f t="shared" si="0"/>
        <v>Moderado-LOGISTICA-LOGISTICA</v>
      </c>
    </row>
    <row r="12" spans="1:5" x14ac:dyDescent="0.3">
      <c r="A12" s="4" t="s">
        <v>43</v>
      </c>
      <c r="B12" s="4" t="s">
        <v>29</v>
      </c>
      <c r="C12" s="11">
        <v>0.17</v>
      </c>
      <c r="E12" t="str">
        <f t="shared" si="0"/>
        <v>Moderado-LAJES CORPORATIVAS-LAJES CORPORATIVAS</v>
      </c>
    </row>
    <row r="13" spans="1:5" x14ac:dyDescent="0.3">
      <c r="A13" s="4" t="s">
        <v>44</v>
      </c>
      <c r="B13" s="4" t="s">
        <v>30</v>
      </c>
      <c r="C13" s="11">
        <v>0.05</v>
      </c>
      <c r="E13" t="str">
        <f t="shared" si="0"/>
        <v>Moderado-DESENVOLVIMENTO-DESENVOLVIMENTO</v>
      </c>
    </row>
    <row r="14" spans="1:5" x14ac:dyDescent="0.3">
      <c r="A14" s="4" t="s">
        <v>45</v>
      </c>
      <c r="B14" s="4" t="s">
        <v>31</v>
      </c>
      <c r="C14" s="11">
        <v>0.12</v>
      </c>
      <c r="E14" t="str">
        <f t="shared" si="0"/>
        <v>Moderado-MULTIESTRATÉGIA-MULTIESTRATÉGIA</v>
      </c>
    </row>
    <row r="15" spans="1:5" ht="15" thickBot="1" x14ac:dyDescent="0.35">
      <c r="A15" s="2" t="s">
        <v>46</v>
      </c>
      <c r="B15" s="2" t="s">
        <v>32</v>
      </c>
      <c r="C15" s="12">
        <v>0.12</v>
      </c>
      <c r="E15" t="str">
        <f t="shared" si="0"/>
        <v>Moderado-RENDA URBANA-RENDA URBANA</v>
      </c>
    </row>
    <row r="16" spans="1:5" x14ac:dyDescent="0.3">
      <c r="A16" s="3" t="s">
        <v>47</v>
      </c>
      <c r="B16" s="3" t="s">
        <v>26</v>
      </c>
      <c r="C16" s="13">
        <v>0.25</v>
      </c>
      <c r="E16" t="str">
        <f t="shared" si="0"/>
        <v>Agressivo-PAPEL-PAPEL</v>
      </c>
    </row>
    <row r="17" spans="1:5" x14ac:dyDescent="0.3">
      <c r="A17" s="4" t="s">
        <v>48</v>
      </c>
      <c r="B17" s="4" t="s">
        <v>27</v>
      </c>
      <c r="C17" s="11">
        <v>0.15</v>
      </c>
      <c r="E17" t="str">
        <f t="shared" si="0"/>
        <v>Agressivo-SHOPPING-SHOPPING</v>
      </c>
    </row>
    <row r="18" spans="1:5" x14ac:dyDescent="0.3">
      <c r="A18" s="4" t="s">
        <v>49</v>
      </c>
      <c r="B18" s="4" t="s">
        <v>28</v>
      </c>
      <c r="C18" s="11">
        <v>0.15</v>
      </c>
      <c r="E18" t="str">
        <f t="shared" si="0"/>
        <v>Agressivo-LOGISTICA-LOGISTICA</v>
      </c>
    </row>
    <row r="19" spans="1:5" x14ac:dyDescent="0.3">
      <c r="A19" s="4" t="s">
        <v>50</v>
      </c>
      <c r="B19" s="4" t="s">
        <v>29</v>
      </c>
      <c r="C19" s="11">
        <v>0.05</v>
      </c>
      <c r="E19" t="str">
        <f t="shared" si="0"/>
        <v>Agressivo-LAJES CORPORATIVAS-LAJES CORPORATIVAS</v>
      </c>
    </row>
    <row r="20" spans="1:5" x14ac:dyDescent="0.3">
      <c r="A20" s="4" t="s">
        <v>51</v>
      </c>
      <c r="B20" s="4" t="s">
        <v>30</v>
      </c>
      <c r="C20" s="11">
        <v>0.2</v>
      </c>
      <c r="E20" t="str">
        <f t="shared" si="0"/>
        <v>Agressivo-DESENVOLVIMENTO-DESENVOLVIMENTO</v>
      </c>
    </row>
    <row r="21" spans="1:5" x14ac:dyDescent="0.3">
      <c r="A21" s="4" t="s">
        <v>52</v>
      </c>
      <c r="B21" s="4" t="s">
        <v>31</v>
      </c>
      <c r="C21" s="11">
        <v>0.15</v>
      </c>
      <c r="E21" t="str">
        <f t="shared" si="0"/>
        <v>Agressivo-MULTIESTRATÉGIA-MULTIESTRATÉGIA</v>
      </c>
    </row>
    <row r="22" spans="1:5" ht="15" thickBot="1" x14ac:dyDescent="0.35">
      <c r="A22" s="2" t="s">
        <v>53</v>
      </c>
      <c r="B22" s="2" t="s">
        <v>32</v>
      </c>
      <c r="C22" s="12">
        <v>0.05</v>
      </c>
      <c r="E22" t="str">
        <f t="shared" si="0"/>
        <v>Agressivo-RENDA URBANA-RENDA URBANA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FIIs</vt:lpstr>
      <vt:lpstr>aux</vt:lpstr>
      <vt:lpstr>aporte_mes</vt:lpstr>
      <vt:lpstr>dividendo_mes</vt:lpstr>
      <vt:lpstr>patrimonio</vt:lpstr>
      <vt:lpstr>salario</vt:lpstr>
      <vt:lpstr>tempo_ano</vt:lpstr>
      <vt:lpstr>tx_anual</vt:lpstr>
      <vt:lpstr>tx_mensal</vt:lpstr>
      <vt:lpstr>tx_selic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fin1 Financeiro</dc:creator>
  <cp:lastModifiedBy>fin1 Financeiro</cp:lastModifiedBy>
  <dcterms:created xsi:type="dcterms:W3CDTF">2026-02-03T15:24:12Z</dcterms:created>
  <dcterms:modified xsi:type="dcterms:W3CDTF">2026-02-03T18:05:54Z</dcterms:modified>
</cp:coreProperties>
</file>